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" sheetId="1" r:id="rId5"/>
    <sheet state="visible" name="Sheet4" sheetId="2" r:id="rId6"/>
  </sheets>
  <definedNames/>
  <calcPr/>
</workbook>
</file>

<file path=xl/sharedStrings.xml><?xml version="1.0" encoding="utf-8"?>
<sst xmlns="http://schemas.openxmlformats.org/spreadsheetml/2006/main" count="73" uniqueCount="71">
  <si>
    <t>RENTAL INCOME</t>
  </si>
  <si>
    <t>Monthly</t>
  </si>
  <si>
    <t>Other</t>
  </si>
  <si>
    <t>Occupied</t>
  </si>
  <si>
    <t>Unit Total</t>
  </si>
  <si>
    <t>FINANCING</t>
  </si>
  <si>
    <t>Unit 1</t>
  </si>
  <si>
    <t>Purchase Price</t>
  </si>
  <si>
    <t>Unit 2</t>
  </si>
  <si>
    <t>Down Payment</t>
  </si>
  <si>
    <t>Unit 3</t>
  </si>
  <si>
    <t>Interst Rate</t>
  </si>
  <si>
    <t>Unit 4</t>
  </si>
  <si>
    <t>Loan Term</t>
  </si>
  <si>
    <t>Unit 5</t>
  </si>
  <si>
    <t>Loan Amount</t>
  </si>
  <si>
    <t>Unit 6</t>
  </si>
  <si>
    <t>Annual Debt Service</t>
  </si>
  <si>
    <t>Unit 7</t>
  </si>
  <si>
    <t>RETURNS</t>
  </si>
  <si>
    <t>Unit 8</t>
  </si>
  <si>
    <t>Cash Flow</t>
  </si>
  <si>
    <t>Unit 9</t>
  </si>
  <si>
    <t>Cash-on-Cash Return</t>
  </si>
  <si>
    <t>Unit 10</t>
  </si>
  <si>
    <t>DSCR</t>
  </si>
  <si>
    <t>Total Monthly Income</t>
  </si>
  <si>
    <t>Cap Rate</t>
  </si>
  <si>
    <t>Total Annual Income</t>
  </si>
  <si>
    <t>STRESSED RETURNS</t>
  </si>
  <si>
    <t>Vacancy Rate (%)</t>
  </si>
  <si>
    <r>
      <rPr>
        <rFont val="Calibri"/>
        <b/>
        <color theme="1"/>
      </rPr>
      <t xml:space="preserve">EGI </t>
    </r>
    <r>
      <rPr>
        <rFont val="Calibri"/>
        <color theme="1"/>
      </rPr>
      <t>(Stressed)</t>
    </r>
  </si>
  <si>
    <t>Effective Gross Income (EGI)</t>
  </si>
  <si>
    <r>
      <rPr>
        <rFont val="Calibri"/>
        <b/>
        <color theme="1"/>
      </rPr>
      <t>Expenses</t>
    </r>
    <r>
      <rPr>
        <rFont val="Calibri"/>
        <color theme="1"/>
      </rPr>
      <t xml:space="preserve"> (Stressed)</t>
    </r>
  </si>
  <si>
    <t>OPERATING EXPENSES</t>
  </si>
  <si>
    <t>Annual</t>
  </si>
  <si>
    <t>Total (M)</t>
  </si>
  <si>
    <t>Total (A)</t>
  </si>
  <si>
    <r>
      <rPr>
        <rFont val="Calibri"/>
        <b/>
        <color theme="1"/>
      </rPr>
      <t>NOI</t>
    </r>
    <r>
      <rPr>
        <rFont val="Calibri"/>
        <color theme="1"/>
      </rPr>
      <t xml:space="preserve"> (Stressed)</t>
    </r>
  </si>
  <si>
    <t>Property Taxes</t>
  </si>
  <si>
    <r>
      <rPr>
        <rFont val="Calibri"/>
        <b/>
        <color theme="1"/>
      </rPr>
      <t xml:space="preserve">DSCR </t>
    </r>
    <r>
      <rPr>
        <rFont val="Calibri"/>
        <color theme="1"/>
      </rPr>
      <t>(Stressed)</t>
    </r>
  </si>
  <si>
    <t>Insurance</t>
  </si>
  <si>
    <r>
      <rPr>
        <rFont val="Calibri"/>
        <b/>
        <color theme="1"/>
      </rPr>
      <t>Cash Flow</t>
    </r>
    <r>
      <rPr>
        <rFont val="Calibri"/>
        <color theme="1"/>
      </rPr>
      <t xml:space="preserve"> (Stressed)</t>
    </r>
  </si>
  <si>
    <t>Utilities</t>
  </si>
  <si>
    <r>
      <rPr>
        <rFont val="Calibri"/>
        <b/>
        <color theme="1"/>
      </rPr>
      <t xml:space="preserve">Cap Rate </t>
    </r>
    <r>
      <rPr>
        <rFont val="Calibri"/>
        <b val="0"/>
        <color theme="1"/>
      </rPr>
      <t>(Stressed)</t>
    </r>
  </si>
  <si>
    <t>Trash &amp; Snow</t>
  </si>
  <si>
    <t>STRESS TEST RULES</t>
  </si>
  <si>
    <t>Landscaping &amp; Ground Maint.</t>
  </si>
  <si>
    <t>Extra Vacancy</t>
  </si>
  <si>
    <t>Repairs &amp; Maintenance</t>
  </si>
  <si>
    <t>Rent Reduction</t>
  </si>
  <si>
    <t>Property Management</t>
  </si>
  <si>
    <t>Insurance Increase</t>
  </si>
  <si>
    <t>Accounting &amp; Bookkeeping</t>
  </si>
  <si>
    <t>Tax Increase</t>
  </si>
  <si>
    <t>CapEx Reseerve</t>
  </si>
  <si>
    <t>Maintenance Increase</t>
  </si>
  <si>
    <t>PERFORMANCE</t>
  </si>
  <si>
    <t>Total Operating Expenses</t>
  </si>
  <si>
    <t>Investment Grade</t>
  </si>
  <si>
    <t>Net Operating Income (NOI)</t>
  </si>
  <si>
    <t>Stress Grade</t>
  </si>
  <si>
    <t>GRADING SETTINGS</t>
  </si>
  <si>
    <t>Minimum CoC</t>
  </si>
  <si>
    <t>Minimum DSCR</t>
  </si>
  <si>
    <t>Excellent CoC</t>
  </si>
  <si>
    <t>Excellent DSCR</t>
  </si>
  <si>
    <t>Minimum Stress DSCR</t>
  </si>
  <si>
    <t>Excellent Stress DSCR</t>
  </si>
  <si>
    <t>(OperatingExpenses + DebtService) / GrossPotentialIncome</t>
  </si>
  <si>
    <t>Breakeven Occupancy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</si>
</sst>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1.0"/>
      <color theme="1"/>
      <name val="Arial"/>
      <scheme val="minor"/>
    </font>
    <font>
      <b/>
      <color theme="1"/>
      <name val="Calibri"/>
    </font>
    <font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1" fillId="2" fontId="1" numFmtId="0" xfId="0" applyBorder="1" applyFont="1"/>
    <xf borderId="3" fillId="2" fontId="2" numFmtId="0" xfId="0" applyBorder="1" applyFont="1"/>
    <xf borderId="0" fillId="0" fontId="2" numFmtId="0" xfId="0" applyFont="1"/>
    <xf borderId="0" fillId="3" fontId="2" numFmtId="0" xfId="0" applyFill="1" applyFont="1"/>
    <xf borderId="4" fillId="0" fontId="2" numFmtId="0" xfId="0" applyBorder="1" applyFont="1"/>
    <xf borderId="0" fillId="0" fontId="2" numFmtId="164" xfId="0" applyAlignment="1" applyFont="1" applyNumberFormat="1">
      <alignment readingOrder="0"/>
    </xf>
    <xf borderId="5" fillId="0" fontId="2" numFmtId="164" xfId="0" applyBorder="1" applyFont="1" applyNumberFormat="1"/>
    <xf borderId="4" fillId="0" fontId="1" numFmtId="0" xfId="0" applyAlignment="1" applyBorder="1" applyFont="1">
      <alignment readingOrder="0"/>
    </xf>
    <xf borderId="5" fillId="0" fontId="2" numFmtId="164" xfId="0" applyAlignment="1" applyBorder="1" applyFont="1" applyNumberFormat="1">
      <alignment readingOrder="0"/>
    </xf>
    <xf borderId="5" fillId="0" fontId="2" numFmtId="9" xfId="0" applyAlignment="1" applyBorder="1" applyFont="1" applyNumberFormat="1">
      <alignment readingOrder="0"/>
    </xf>
    <xf borderId="5" fillId="0" fontId="2" numFmtId="10" xfId="0" applyAlignment="1" applyBorder="1" applyFont="1" applyNumberFormat="1">
      <alignment readingOrder="0"/>
    </xf>
    <xf borderId="0" fillId="0" fontId="2" numFmtId="164" xfId="0" applyFont="1" applyNumberFormat="1"/>
    <xf borderId="5" fillId="0" fontId="2" numFmtId="0" xfId="0" applyAlignment="1" applyBorder="1" applyFont="1">
      <alignment readingOrder="0"/>
    </xf>
    <xf borderId="4" fillId="0" fontId="1" numFmtId="0" xfId="0" applyBorder="1" applyFont="1"/>
    <xf borderId="5" fillId="0" fontId="2" numFmtId="164" xfId="0" applyAlignment="1" applyBorder="1" applyFont="1" applyNumberFormat="1">
      <alignment horizontal="right"/>
    </xf>
    <xf borderId="6" fillId="0" fontId="1" numFmtId="0" xfId="0" applyBorder="1" applyFont="1"/>
    <xf borderId="7" fillId="0" fontId="2" numFmtId="164" xfId="0" applyAlignment="1" applyBorder="1" applyFont="1" applyNumberFormat="1">
      <alignment horizontal="right"/>
    </xf>
    <xf borderId="8" fillId="2" fontId="1" numFmtId="0" xfId="0" applyAlignment="1" applyBorder="1" applyFont="1">
      <alignment readingOrder="0"/>
    </xf>
    <xf borderId="3" fillId="2" fontId="2" numFmtId="0" xfId="0" applyAlignment="1" applyBorder="1" applyFont="1">
      <alignment horizontal="right"/>
    </xf>
    <xf borderId="5" fillId="0" fontId="2" numFmtId="10" xfId="0" applyAlignment="1" applyBorder="1" applyFont="1" applyNumberFormat="1">
      <alignment horizontal="right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horizontal="right"/>
    </xf>
    <xf borderId="5" fillId="0" fontId="1" numFmtId="164" xfId="0" applyBorder="1" applyFont="1" applyNumberFormat="1"/>
    <xf borderId="7" fillId="0" fontId="2" numFmtId="10" xfId="0" applyAlignment="1" applyBorder="1" applyFont="1" applyNumberFormat="1">
      <alignment horizontal="right"/>
    </xf>
    <xf borderId="0" fillId="0" fontId="1" numFmtId="0" xfId="0" applyAlignment="1" applyFont="1">
      <alignment readingOrder="0"/>
    </xf>
    <xf borderId="3" fillId="2" fontId="2" numFmtId="0" xfId="0" applyBorder="1" applyFont="1"/>
    <xf borderId="5" fillId="0" fontId="1" numFmtId="10" xfId="0" applyAlignment="1" applyBorder="1" applyFont="1" applyNumberFormat="1">
      <alignment horizontal="right" readingOrder="0"/>
    </xf>
    <xf borderId="4" fillId="0" fontId="2" numFmtId="0" xfId="0" applyAlignment="1" applyBorder="1" applyFont="1">
      <alignment readingOrder="0"/>
    </xf>
    <xf borderId="5" fillId="0" fontId="1" numFmtId="164" xfId="0" applyAlignment="1" applyBorder="1" applyFont="1" applyNumberFormat="1">
      <alignment horizontal="right"/>
    </xf>
    <xf borderId="0" fillId="3" fontId="2" numFmtId="0" xfId="0" applyAlignment="1" applyFont="1">
      <alignment readingOrder="0"/>
    </xf>
    <xf borderId="2" fillId="2" fontId="3" numFmtId="0" xfId="0" applyAlignment="1" applyBorder="1" applyFont="1">
      <alignment readingOrder="0" vertical="bottom"/>
    </xf>
    <xf borderId="3" fillId="2" fontId="3" numFmtId="0" xfId="0" applyAlignment="1" applyBorder="1" applyFont="1">
      <alignment readingOrder="0" vertical="bottom"/>
    </xf>
    <xf borderId="4" fillId="4" fontId="2" numFmtId="0" xfId="0" applyAlignment="1" applyBorder="1" applyFill="1" applyFont="1">
      <alignment readingOrder="0"/>
    </xf>
    <xf borderId="4" fillId="0" fontId="4" numFmtId="0" xfId="0" applyAlignment="1" applyBorder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vertical="bottom"/>
    </xf>
    <xf borderId="5" fillId="0" fontId="4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6" fillId="0" fontId="1" numFmtId="0" xfId="0" applyAlignment="1" applyBorder="1" applyFont="1">
      <alignment readingOrder="0"/>
    </xf>
    <xf borderId="7" fillId="0" fontId="2" numFmtId="0" xfId="0" applyBorder="1" applyFont="1"/>
    <xf borderId="6" fillId="0" fontId="2" numFmtId="0" xfId="0" applyAlignment="1" applyBorder="1" applyFont="1">
      <alignment readingOrder="0"/>
    </xf>
    <xf borderId="7" fillId="0" fontId="2" numFmtId="10" xfId="0" applyAlignment="1" applyBorder="1" applyFont="1" applyNumberFormat="1">
      <alignment readingOrder="0"/>
    </xf>
    <xf borderId="3" fillId="2" fontId="1" numFmtId="0" xfId="0" applyBorder="1" applyFont="1"/>
    <xf borderId="4" fillId="3" fontId="1" numFmtId="0" xfId="0" applyAlignment="1" applyBorder="1" applyFon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4" fillId="0" fontId="5" numFmtId="0" xfId="0" applyAlignment="1" applyBorder="1" applyFont="1">
      <alignment readingOrder="0"/>
    </xf>
    <xf borderId="5" fillId="0" fontId="2" numFmtId="0" xfId="0" applyBorder="1" applyFont="1"/>
    <xf borderId="9" fillId="0" fontId="1" numFmtId="0" xfId="0" applyAlignment="1" applyBorder="1" applyFont="1">
      <alignment horizontal="center" readingOrder="0"/>
    </xf>
    <xf borderId="9" fillId="0" fontId="1" numFmtId="164" xfId="0" applyBorder="1" applyFont="1" applyNumberFormat="1"/>
    <xf borderId="7" fillId="0" fontId="1" numFmtId="164" xfId="0" applyAlignment="1" applyBorder="1" applyFont="1" applyNumberFormat="1">
      <alignment horizontal="right"/>
    </xf>
    <xf borderId="6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7.5"/>
    <col customWidth="1" min="3" max="3" width="7.0"/>
    <col customWidth="1" min="4" max="4" width="7.88"/>
    <col customWidth="1" min="5" max="5" width="9.38"/>
    <col customWidth="1" min="6" max="6" width="16.88"/>
    <col customWidth="1" min="7" max="7" width="13.63"/>
    <col customWidth="1" min="8" max="8" width="17.5"/>
    <col customWidth="1" min="9" max="9" width="16.38"/>
    <col customWidth="1" min="10" max="10" width="10.25"/>
    <col customWidth="1" min="11" max="11" width="1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J1" s="6"/>
      <c r="K1" s="6"/>
      <c r="L1" s="7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6</v>
      </c>
      <c r="B2" s="9"/>
      <c r="C2" s="9"/>
      <c r="D2" s="6"/>
      <c r="E2" s="10">
        <f t="shared" ref="E2:E11" si="1">IF(D2="NO",0,B2+C2)</f>
        <v>0</v>
      </c>
      <c r="F2" s="11" t="s">
        <v>7</v>
      </c>
      <c r="G2" s="12">
        <v>100000.0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8" t="s">
        <v>8</v>
      </c>
      <c r="B3" s="9"/>
      <c r="C3" s="9"/>
      <c r="D3" s="6"/>
      <c r="E3" s="10">
        <f t="shared" si="1"/>
        <v>0</v>
      </c>
      <c r="F3" s="11" t="s">
        <v>9</v>
      </c>
      <c r="G3" s="13">
        <v>0.3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8" t="s">
        <v>10</v>
      </c>
      <c r="B4" s="9"/>
      <c r="C4" s="9"/>
      <c r="D4" s="6"/>
      <c r="E4" s="10">
        <f t="shared" si="1"/>
        <v>0</v>
      </c>
      <c r="F4" s="11" t="s">
        <v>11</v>
      </c>
      <c r="G4" s="14">
        <v>0.07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8" t="s">
        <v>12</v>
      </c>
      <c r="B5" s="9"/>
      <c r="C5" s="15"/>
      <c r="D5" s="6"/>
      <c r="E5" s="10">
        <f t="shared" si="1"/>
        <v>0</v>
      </c>
      <c r="F5" s="11" t="s">
        <v>13</v>
      </c>
      <c r="G5" s="16">
        <v>30.0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8" t="s">
        <v>14</v>
      </c>
      <c r="B6" s="9"/>
      <c r="C6" s="15"/>
      <c r="D6" s="6"/>
      <c r="E6" s="10">
        <f t="shared" si="1"/>
        <v>0</v>
      </c>
      <c r="F6" s="17" t="s">
        <v>15</v>
      </c>
      <c r="G6" s="18">
        <f>G2*(1-G3)</f>
        <v>70000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8" t="s">
        <v>16</v>
      </c>
      <c r="B7" s="9"/>
      <c r="C7" s="15"/>
      <c r="D7" s="6"/>
      <c r="E7" s="10">
        <f t="shared" si="1"/>
        <v>0</v>
      </c>
      <c r="F7" s="19" t="s">
        <v>17</v>
      </c>
      <c r="G7" s="20">
        <f>PMT(G4/12,G5*12,G6)*12*-1</f>
        <v>5588.54096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8" t="s">
        <v>18</v>
      </c>
      <c r="B8" s="9"/>
      <c r="C8" s="15"/>
      <c r="D8" s="6"/>
      <c r="E8" s="10">
        <f t="shared" si="1"/>
        <v>0</v>
      </c>
      <c r="F8" s="21" t="s">
        <v>19</v>
      </c>
      <c r="G8" s="22"/>
      <c r="H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 t="s">
        <v>20</v>
      </c>
      <c r="B9" s="9"/>
      <c r="C9" s="15"/>
      <c r="D9" s="6"/>
      <c r="E9" s="10">
        <f t="shared" si="1"/>
        <v>0</v>
      </c>
      <c r="F9" s="17" t="s">
        <v>21</v>
      </c>
      <c r="G9" s="18">
        <f>E28-G7</f>
        <v>-5588.54096</v>
      </c>
      <c r="H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 t="s">
        <v>22</v>
      </c>
      <c r="B10" s="9"/>
      <c r="C10" s="15"/>
      <c r="D10" s="6"/>
      <c r="E10" s="10">
        <f t="shared" si="1"/>
        <v>0</v>
      </c>
      <c r="F10" s="17" t="s">
        <v>23</v>
      </c>
      <c r="G10" s="23">
        <f>G9/(G2*G3)</f>
        <v>-0.1862846987</v>
      </c>
      <c r="H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 t="s">
        <v>24</v>
      </c>
      <c r="B11" s="9"/>
      <c r="C11" s="15"/>
      <c r="D11" s="24"/>
      <c r="E11" s="10">
        <f t="shared" si="1"/>
        <v>0</v>
      </c>
      <c r="F11" s="17" t="s">
        <v>25</v>
      </c>
      <c r="G11" s="25">
        <f>ROUNDDOWN(E28/G7, 2)</f>
        <v>0</v>
      </c>
      <c r="H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26</v>
      </c>
      <c r="B12" s="15"/>
      <c r="C12" s="15"/>
      <c r="D12" s="6"/>
      <c r="E12" s="26">
        <f>SUM(E2:E11)</f>
        <v>0</v>
      </c>
      <c r="F12" s="19" t="s">
        <v>27</v>
      </c>
      <c r="G12" s="27">
        <f>E28/G2</f>
        <v>0</v>
      </c>
      <c r="H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28" t="s">
        <v>28</v>
      </c>
      <c r="B13" s="15"/>
      <c r="C13" s="15"/>
      <c r="D13" s="6"/>
      <c r="E13" s="26">
        <f>E12*12</f>
        <v>0</v>
      </c>
      <c r="F13" s="1" t="s">
        <v>29</v>
      </c>
      <c r="G13" s="29"/>
      <c r="H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 t="s">
        <v>30</v>
      </c>
      <c r="B14" s="6"/>
      <c r="C14" s="6"/>
      <c r="D14" s="6"/>
      <c r="E14" s="30">
        <v>0.05</v>
      </c>
      <c r="F14" s="31" t="s">
        <v>31</v>
      </c>
      <c r="G14" s="10">
        <f>E13*(1-G22)*(1-(E14+G21))</f>
        <v>0</v>
      </c>
      <c r="H14" s="6"/>
      <c r="L14" s="2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7" t="s">
        <v>32</v>
      </c>
      <c r="B15" s="6"/>
      <c r="C15" s="6"/>
      <c r="D15" s="6"/>
      <c r="E15" s="32">
        <f>E13*(1-E14)</f>
        <v>0</v>
      </c>
      <c r="F15" s="31" t="s">
        <v>33</v>
      </c>
      <c r="G15" s="10">
        <f>E27+(E18*G23)+(E17*G24)+(E22*G25)</f>
        <v>0</v>
      </c>
      <c r="H15" s="6"/>
      <c r="I15" s="33"/>
      <c r="J15" s="7"/>
      <c r="K15" s="24"/>
      <c r="L15" s="24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21" t="s">
        <v>34</v>
      </c>
      <c r="B16" s="34" t="s">
        <v>1</v>
      </c>
      <c r="C16" s="34" t="s">
        <v>35</v>
      </c>
      <c r="D16" s="34" t="s">
        <v>36</v>
      </c>
      <c r="E16" s="35" t="s">
        <v>37</v>
      </c>
      <c r="F16" s="36" t="s">
        <v>38</v>
      </c>
      <c r="G16" s="10">
        <f>G14-G15</f>
        <v>0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37" t="s">
        <v>39</v>
      </c>
      <c r="B17" s="38"/>
      <c r="C17" s="38"/>
      <c r="D17" s="39" t="str">
        <f t="shared" ref="D17:D26" si="2">IF(C17&lt;&gt;"", C17/12, B17)</f>
        <v/>
      </c>
      <c r="E17" s="40">
        <f t="shared" ref="E17:E26" si="3">IF(C17&lt;&gt;"", C17, B17*12)</f>
        <v>0</v>
      </c>
      <c r="F17" s="36" t="s">
        <v>40</v>
      </c>
      <c r="G17" s="10">
        <f>G16/G7</f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1" t="s">
        <v>41</v>
      </c>
      <c r="B18" s="38"/>
      <c r="C18" s="38"/>
      <c r="D18" s="39" t="str">
        <f t="shared" si="2"/>
        <v/>
      </c>
      <c r="E18" s="40">
        <f t="shared" si="3"/>
        <v>0</v>
      </c>
      <c r="F18" s="36" t="s">
        <v>42</v>
      </c>
      <c r="G18" s="10">
        <f>G16-G7</f>
        <v>-5588.54096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2" t="s">
        <v>43</v>
      </c>
      <c r="B19" s="38"/>
      <c r="C19" s="38"/>
      <c r="D19" s="39" t="str">
        <f t="shared" si="2"/>
        <v/>
      </c>
      <c r="E19" s="40">
        <f t="shared" si="3"/>
        <v>0</v>
      </c>
      <c r="F19" s="43" t="s">
        <v>44</v>
      </c>
      <c r="G19" s="44">
        <f>G16/G2</f>
        <v>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31" t="s">
        <v>45</v>
      </c>
      <c r="B20" s="38"/>
      <c r="C20" s="38"/>
      <c r="D20" s="39" t="str">
        <f t="shared" si="2"/>
        <v/>
      </c>
      <c r="E20" s="40">
        <f t="shared" si="3"/>
        <v>0</v>
      </c>
      <c r="F20" s="1" t="s">
        <v>46</v>
      </c>
      <c r="G20" s="29"/>
      <c r="H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31" t="s">
        <v>47</v>
      </c>
      <c r="B21" s="38"/>
      <c r="C21" s="38"/>
      <c r="D21" s="39" t="str">
        <f t="shared" si="2"/>
        <v/>
      </c>
      <c r="E21" s="40">
        <f t="shared" si="3"/>
        <v>0</v>
      </c>
      <c r="F21" s="31" t="s">
        <v>48</v>
      </c>
      <c r="G21" s="14">
        <v>0.0</v>
      </c>
      <c r="H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37" t="s">
        <v>49</v>
      </c>
      <c r="B22" s="38"/>
      <c r="C22" s="38"/>
      <c r="D22" s="39" t="str">
        <f t="shared" si="2"/>
        <v/>
      </c>
      <c r="E22" s="40">
        <f t="shared" si="3"/>
        <v>0</v>
      </c>
      <c r="F22" s="31" t="s">
        <v>50</v>
      </c>
      <c r="G22" s="14">
        <v>0.0</v>
      </c>
      <c r="H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37" t="s">
        <v>51</v>
      </c>
      <c r="B23" s="9"/>
      <c r="C23" s="9"/>
      <c r="D23" s="39" t="str">
        <f t="shared" si="2"/>
        <v/>
      </c>
      <c r="E23" s="40">
        <f t="shared" si="3"/>
        <v>0</v>
      </c>
      <c r="F23" s="31" t="s">
        <v>52</v>
      </c>
      <c r="G23" s="14">
        <v>0.0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31" t="s">
        <v>53</v>
      </c>
      <c r="B24" s="9"/>
      <c r="C24" s="9"/>
      <c r="D24" s="39" t="str">
        <f t="shared" si="2"/>
        <v/>
      </c>
      <c r="E24" s="40">
        <f t="shared" si="3"/>
        <v>0</v>
      </c>
      <c r="F24" s="31" t="s">
        <v>54</v>
      </c>
      <c r="G24" s="14">
        <v>0.0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37" t="s">
        <v>55</v>
      </c>
      <c r="B25" s="9"/>
      <c r="C25" s="9"/>
      <c r="D25" s="39" t="str">
        <f t="shared" si="2"/>
        <v/>
      </c>
      <c r="E25" s="40">
        <f t="shared" si="3"/>
        <v>0</v>
      </c>
      <c r="F25" s="45" t="s">
        <v>56</v>
      </c>
      <c r="G25" s="46">
        <v>0.0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37" t="s">
        <v>2</v>
      </c>
      <c r="B26" s="38"/>
      <c r="C26" s="9"/>
      <c r="D26" s="39" t="str">
        <f t="shared" si="2"/>
        <v/>
      </c>
      <c r="E26" s="40">
        <f t="shared" si="3"/>
        <v>0</v>
      </c>
      <c r="F26" s="1" t="s">
        <v>57</v>
      </c>
      <c r="G26" s="4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8" t="s">
        <v>58</v>
      </c>
      <c r="B27" s="49"/>
      <c r="C27" s="49"/>
      <c r="D27" s="50">
        <f t="shared" ref="D27:E27" si="4">SUM(D17:D26)</f>
        <v>0</v>
      </c>
      <c r="E27" s="51">
        <f t="shared" si="4"/>
        <v>0</v>
      </c>
      <c r="F27" s="52" t="s">
        <v>59</v>
      </c>
      <c r="G27" s="53">
        <f>ROUND(
(
MIN(MAX((G10-Sheet4!B3)/(Sheet4!B5-Sheet4!B3),0),1)*5
+
MIN(MAX((G11-Sheet4!B4)/(Sheet4!B6-Sheet4!B4),0),1)*5
)
,1)</f>
        <v>0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9" t="s">
        <v>60</v>
      </c>
      <c r="B28" s="54"/>
      <c r="C28" s="54"/>
      <c r="D28" s="55">
        <f>SUM(E15/12)-D27</f>
        <v>0</v>
      </c>
      <c r="E28" s="56">
        <f>E15-E27</f>
        <v>0</v>
      </c>
      <c r="F28" s="57" t="s">
        <v>61</v>
      </c>
      <c r="G28" s="44">
        <f>ROUND(
(
MIN(MAX((H24)/(ABS(H24)+1),0),1)*3
+
MIN(MAX((H23-Sheet4!B7)/(Sheet4!B8-Sheet4!B7),0),1)*7
)
*10
,1)</f>
        <v>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conditionalFormatting sqref="D2:D11">
    <cfRule type="notContainsBlanks" dxfId="0" priority="1">
      <formula>LEN(TRIM(D2))&gt;0</formula>
    </cfRule>
  </conditionalFormatting>
  <conditionalFormatting sqref="G27:G28">
    <cfRule type="cellIs" dxfId="1" priority="2" operator="lessThan">
      <formula>1</formula>
    </cfRule>
  </conditionalFormatting>
  <conditionalFormatting sqref="G27:G28">
    <cfRule type="cellIs" dxfId="2" priority="3" operator="between">
      <formula>1</formula>
      <formula>3</formula>
    </cfRule>
  </conditionalFormatting>
  <conditionalFormatting sqref="G27:G28">
    <cfRule type="cellIs" dxfId="3" priority="4" operator="between">
      <formula>4</formula>
      <formula>7</formula>
    </cfRule>
  </conditionalFormatting>
  <conditionalFormatting sqref="G27:G28">
    <cfRule type="cellIs" dxfId="4" priority="5" operator="greaterThanOrEqual">
      <formula>8</formula>
    </cfRule>
  </conditionalFormatting>
  <dataValidations>
    <dataValidation type="list" allowBlank="1" showErrorMessage="1" sqref="G3">
      <formula1>"20%,21%,22%,23%,24%,25%,26%,27%,28%,29%,30%"</formula1>
    </dataValidation>
    <dataValidation type="list" allowBlank="1" showErrorMessage="1" sqref="D2:D11">
      <formula1>"No,Yes"</formula1>
    </dataValidation>
    <dataValidation type="list" allowBlank="1" showErrorMessage="1" sqref="E14">
      <formula1>"0.00%,5.00%,8.00%,10.00%"</formula1>
    </dataValidation>
    <dataValidation type="list" allowBlank="1" showErrorMessage="1" sqref="G4">
      <formula1>"5.75%,6.00%,6.25%,6.50%,6.75%,7.00%,7.25%,7.50%,7.75%,8.00%"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58" t="s">
        <v>62</v>
      </c>
      <c r="B1" s="6"/>
      <c r="C1" s="6"/>
    </row>
    <row r="2">
      <c r="C2" s="6"/>
    </row>
    <row r="3">
      <c r="A3" s="58" t="s">
        <v>63</v>
      </c>
      <c r="B3" s="58">
        <v>0.08</v>
      </c>
      <c r="C3" s="6"/>
    </row>
    <row r="4">
      <c r="A4" s="58" t="s">
        <v>64</v>
      </c>
      <c r="B4" s="58">
        <v>1.25</v>
      </c>
      <c r="C4" s="6"/>
    </row>
    <row r="5">
      <c r="A5" s="58" t="s">
        <v>65</v>
      </c>
      <c r="B5" s="58">
        <v>0.15</v>
      </c>
      <c r="C5" s="6"/>
    </row>
    <row r="6">
      <c r="A6" s="58" t="s">
        <v>66</v>
      </c>
      <c r="B6" s="58">
        <v>1.6</v>
      </c>
      <c r="C6" s="6"/>
    </row>
    <row r="7">
      <c r="A7" s="58" t="s">
        <v>67</v>
      </c>
      <c r="B7" s="58">
        <v>1.1</v>
      </c>
    </row>
    <row r="8">
      <c r="A8" s="58" t="s">
        <v>68</v>
      </c>
      <c r="B8" s="58">
        <v>1.4</v>
      </c>
      <c r="C8" s="6"/>
    </row>
    <row r="9">
      <c r="A9" s="33"/>
      <c r="B9" s="7"/>
      <c r="C9" s="6"/>
    </row>
    <row r="10">
      <c r="A10" s="7"/>
      <c r="B10" s="7"/>
      <c r="C10" s="6"/>
    </row>
    <row r="11">
      <c r="A11" s="58" t="s">
        <v>69</v>
      </c>
      <c r="B11" s="7"/>
      <c r="C11" s="6"/>
    </row>
    <row r="12">
      <c r="A12" s="24" t="s">
        <v>70</v>
      </c>
      <c r="B12" s="6"/>
      <c r="C12" s="6"/>
    </row>
    <row r="13">
      <c r="A13" s="6" t="str">
        <f>(Fun!E27+Fun!G7)/Fun!B2:B11</f>
        <v>#VALUE!</v>
      </c>
      <c r="B13" s="6"/>
      <c r="C13" s="24"/>
    </row>
  </sheetData>
  <drawing r:id="rId1"/>
</worksheet>
</file>